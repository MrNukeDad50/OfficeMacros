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darr\Documents\My Templates\"/>
    </mc:Choice>
  </mc:AlternateContent>
  <xr:revisionPtr revIDLastSave="0" documentId="8_{AC441B59-B2D6-47D9-BCE7-C194ABAD18D5}" xr6:coauthVersionLast="47" xr6:coauthVersionMax="47" xr10:uidLastSave="{00000000-0000-0000-0000-000000000000}"/>
  <bookViews>
    <workbookView xWindow="7785" yWindow="3615" windowWidth="38700" windowHeight="15435" xr2:uid="{3708FA70-7140-42DB-B16F-E76380AA7E4E}"/>
  </bookViews>
  <sheets>
    <sheet name="Sheet1" sheetId="1" r:id="rId1"/>
  </sheets>
  <definedNames>
    <definedName name="_xlnm._FilterDatabase" localSheetId="0" hidden="1">Sheet1!$A$1:$M$126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37" i="1" l="1"/>
  <c r="L33" i="1"/>
  <c r="L31" i="1"/>
  <c r="C3" i="1"/>
  <c r="F2" i="1" l="1"/>
  <c r="M2" i="1" l="1"/>
  <c r="C2" i="1"/>
</calcChain>
</file>

<file path=xl/sharedStrings.xml><?xml version="1.0" encoding="utf-8"?>
<sst xmlns="http://schemas.openxmlformats.org/spreadsheetml/2006/main" count="187" uniqueCount="71">
  <si>
    <t>IsHeading</t>
  </si>
  <si>
    <t>ArtifactType</t>
  </si>
  <si>
    <t>Name</t>
  </si>
  <si>
    <t>Att</t>
  </si>
  <si>
    <t>Sec</t>
  </si>
  <si>
    <t>L1</t>
  </si>
  <si>
    <t>L2</t>
  </si>
  <si>
    <t>L3</t>
  </si>
  <si>
    <t>L4</t>
  </si>
  <si>
    <t>L5</t>
  </si>
  <si>
    <t>Primary Text</t>
  </si>
  <si>
    <t>Source Text</t>
  </si>
  <si>
    <t>This is my sentence</t>
  </si>
  <si>
    <t>App</t>
  </si>
  <si>
    <t>Heading</t>
  </si>
  <si>
    <t>DOE O 458.1 Chg 4</t>
  </si>
  <si>
    <t>'==========================================</t>
  </si>
  <si>
    <t>'This portion goes into the Macros Module</t>
  </si>
  <si>
    <t>Sub Macro_MapMacrosToKeys()</t>
  </si>
  <si>
    <t>' https://www.excelcampus.com/vba/keyboard-shortcut-run-macro/</t>
  </si>
  <si>
    <t>' Note, for Keys:</t>
  </si>
  <si>
    <t>'    + = Ctrl Key</t>
  </si>
  <si>
    <t>'    ^ = Shift Key</t>
  </si>
  <si>
    <t>'    {x} = X key</t>
  </si>
  <si>
    <t xml:space="preserve">    Application.OnKey "+^{U}", "Macro_MergeCellsLeft_CtrlShiftU"</t>
  </si>
  <si>
    <t xml:space="preserve">    </t>
  </si>
  <si>
    <t>End Sub</t>
  </si>
  <si>
    <t>Sub Macro_MergeCellsLeft_CtrlShiftU()</t>
  </si>
  <si>
    <t xml:space="preserve">    '</t>
  </si>
  <si>
    <t xml:space="preserve">    ' Macro to merge cells to the left where the</t>
  </si>
  <si>
    <t xml:space="preserve">    Dim myDIM As New DOORsImportMacros</t>
  </si>
  <si>
    <t xml:space="preserve">    Dim myCell As Excel.Range</t>
  </si>
  <si>
    <t xml:space="preserve">    'Note: by using the 'activecell' we ensure only the top left cell of the selected range is used</t>
  </si>
  <si>
    <t xml:space="preserve">    Set myCell = ActiveCell</t>
  </si>
  <si>
    <t xml:space="preserve">    myDIM.MergeCellsLeft myCell</t>
  </si>
  <si>
    <t xml:space="preserve">    'Momma said to clean up after yourself</t>
  </si>
  <si>
    <t xml:space="preserve">    Set myCell = Nothing</t>
  </si>
  <si>
    <t xml:space="preserve">    Set myDIM = Nothing</t>
  </si>
  <si>
    <t>Sub Macro_BreakoutOneWordHeader_CtrlShiftA()</t>
  </si>
  <si>
    <t xml:space="preserve">    ' Macro to pull the first word from a cell into its own row</t>
  </si>
  <si>
    <t xml:space="preserve">    ' The existing row gets pushed down one and loses the first word.</t>
  </si>
  <si>
    <t xml:space="preserve">    ' This effectively pull the header text out of the beginning of a cell</t>
  </si>
  <si>
    <t xml:space="preserve">    ' Keyboard Shortcut: Ctrl+Shift+A</t>
  </si>
  <si>
    <t xml:space="preserve">    myDIM.BreakoutOneWordHeader myCell</t>
  </si>
  <si>
    <t xml:space="preserve">        </t>
  </si>
  <si>
    <t>Sub Macro_MergeCellsUp_CtrlShiftQ()</t>
  </si>
  <si>
    <t xml:space="preserve">    ' Macro to merge the words of the currently selected cell and cell below it</t>
  </si>
  <si>
    <t xml:space="preserve">    ' then delete the row below effectively merging the text up</t>
  </si>
  <si>
    <t xml:space="preserve">    ' Keyboard Shortcut: Ctrl+Shift+Q</t>
  </si>
  <si>
    <t xml:space="preserve">    myDIM.MergeCellsUp myCell</t>
  </si>
  <si>
    <t>Sub AppendColon_CtrlShiftO()</t>
  </si>
  <si>
    <t>'</t>
  </si>
  <si>
    <t>' colon Macro</t>
  </si>
  <si>
    <t>' Keyboard Shortcut: Ctrl+Shift+O</t>
  </si>
  <si>
    <t xml:space="preserve">    ActiveCell.FormulaR1C1 = ActiveCell.FormulaR1C1 &amp; ":"</t>
  </si>
  <si>
    <t xml:space="preserve">    ActiveCell.Offset(1, 0).Range("A1").Select</t>
  </si>
  <si>
    <t>Sub CarryDown_CtrlShiftE()</t>
  </si>
  <si>
    <t>' Shortcut : Ctrl+Shift+E</t>
  </si>
  <si>
    <t xml:space="preserve">    ActiveCell.Formula2R1C1 = "=R[-1]C"</t>
  </si>
  <si>
    <t>U</t>
  </si>
  <si>
    <t xml:space="preserve"> </t>
  </si>
  <si>
    <t xml:space="preserve">' </t>
  </si>
  <si>
    <t xml:space="preserve"> End Sub End Sub </t>
  </si>
  <si>
    <t xml:space="preserve">Macro </t>
  </si>
  <si>
    <t xml:space="preserve">to </t>
  </si>
  <si>
    <t xml:space="preserve">merge </t>
  </si>
  <si>
    <t xml:space="preserve">cells </t>
  </si>
  <si>
    <t xml:space="preserve">the </t>
  </si>
  <si>
    <t>where the ' first uU 'U ' Dim myDIM As New DOORsImportMacros Dim myDIM As New DOORsImportMacros Dim myCell As Excel.Range Dim myCell As Excel.Range by Note: 'Note: by using the 'activecell' we ensure only the top left cell of the selected range is used uusing 'Note: by using the 'activecell' we ensure only the top left cell of the selected range is usedthe 'Note: by using the 'activecell' we ensure only the top left cell of the selected range is usedactivecell' 'Note: by using the 'activecell' we ensure only the top left cell of the selected range is usedwe ensure only the top left cell of the selected range is used Set myCell = ActiveCell     ' Macro to merge cells to the left where the</t>
  </si>
  <si>
    <t>O</t>
  </si>
  <si>
    <t xml:space="preserve">    myDIM.MergeCellsLeft myCell::::::::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</si>
</sst>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9F4A8A-ED5E-44CA-A531-345F2D8F839F}">
  <sheetPr codeName="Sheet1"/>
  <dimension ref="A1:M2430"/>
  <sheetViews>
    <sheetView tabSelected="1" topLeftCell="G1" zoomScale="85" zoomScaleNormal="85" workbookViewId="0">
      <selection activeCell="L36" sqref="L36"/>
    </sheetView>
  </sheetViews>
  <sheetFormatPr defaultRowHeight="15" x14ac:dyDescent="0.25"/>
  <cols>
    <col min="3" max="3" width="50.7109375" customWidth="1"/>
    <col min="4" max="4" width="8.42578125" bestFit="1" customWidth="1"/>
    <col min="5" max="5" width="3.28515625" bestFit="1" customWidth="1"/>
    <col min="6" max="6" width="4" bestFit="1" customWidth="1"/>
    <col min="7" max="10" width="2.85546875" bestFit="1" customWidth="1"/>
    <col min="11" max="11" width="8.42578125" bestFit="1" customWidth="1"/>
    <col min="12" max="13" width="120.7109375" style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13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s="1" t="s">
        <v>15</v>
      </c>
      <c r="M1" s="1" t="s">
        <v>10</v>
      </c>
    </row>
    <row r="2" spans="1:13" x14ac:dyDescent="0.25">
      <c r="A2" t="b">
        <v>1</v>
      </c>
      <c r="B2" t="s">
        <v>14</v>
      </c>
      <c r="C2" t="str">
        <f>TRIM(_xlfn.CONCAT($L$1,IF(D2="","",_xlfn.CONCAT(", ",$D$1," ",D2)),IF(E2="","",_xlfn.CONCAT(", ",$E$1," ",E2)),IF(F2="","",_xlfn.CONCAT(", ",$F$1," ", F2)),IF(G2="","",_xlfn.CONCAT(".",G2)),IF(H2="","",_xlfn.CONCAT(".",H2)),IF(I2="","",_xlfn.CONCAT(".",I2)),IF(J2="","",_xlfn.CONCAT(".",J2)),IF(K2="","",_xlfn.CONCAT(".",K2))))</f>
        <v>DOE O 458.1 Chg 4, Sec This</v>
      </c>
      <c r="F2" t="str">
        <f>IF(LEFT($L2,1)="-",_xlfn.CONCAT("(",MID($L2,2,FIND(" ",$L2,2)-2),")"),IF(RIGHT(TRIM(LEFT($L2,FIND(" ",$L2))),1)=".",TRIM(LEFT($L2,FIND(".",$L2)-1)),TRIM(LEFT($L2,FIND(" ",$L2)))))</f>
        <v>This</v>
      </c>
      <c r="L2" s="1" t="s">
        <v>12</v>
      </c>
      <c r="M2" s="1" t="str">
        <f>TRIM(MID(L2,FIND(" ",L2),LEN(L2)-FIND(" ",L2)+1))</f>
        <v>is my sentence</v>
      </c>
    </row>
    <row r="3" spans="1:13" x14ac:dyDescent="0.25">
      <c r="A3" t="b">
        <v>0</v>
      </c>
      <c r="B3" t="s">
        <v>11</v>
      </c>
      <c r="C3" t="str">
        <f>TRIM(_xlfn.CONCAT($L$1,IF(D3="","",_xlfn.CONCAT(", ",$D$1," ",D3)),IF(E3="","",_xlfn.CONCAT(", ",$E$1," ",E3)),IF(F3="","",_xlfn.CONCAT(", ",$F$1," ", F3)),IF(G3="","",_xlfn.CONCAT(".",G3)),IF(H3="","",_xlfn.CONCAT(".",H3)),IF(I3="","",_xlfn.CONCAT(".",I3)),IF(J3="","",_xlfn.CONCAT(".",J3)),IF(K3="","",_xlfn.CONCAT(".",K3))))</f>
        <v>DOE O 458.1 Chg 4</v>
      </c>
      <c r="L3" s="1" t="s">
        <v>16</v>
      </c>
      <c r="M3" s="1" t="s">
        <v>16</v>
      </c>
    </row>
    <row r="4" spans="1:13" x14ac:dyDescent="0.25">
      <c r="L4" s="1" t="s">
        <v>17</v>
      </c>
      <c r="M4" s="1" t="s">
        <v>17</v>
      </c>
    </row>
    <row r="5" spans="1:13" x14ac:dyDescent="0.25">
      <c r="L5" s="1" t="s">
        <v>16</v>
      </c>
      <c r="M5" s="1" t="s">
        <v>16</v>
      </c>
    </row>
    <row r="6" spans="1:13" x14ac:dyDescent="0.25">
      <c r="L6" s="1" t="s">
        <v>18</v>
      </c>
      <c r="M6" s="1" t="s">
        <v>18</v>
      </c>
    </row>
    <row r="7" spans="1:13" x14ac:dyDescent="0.25">
      <c r="L7" s="1" t="s">
        <v>19</v>
      </c>
      <c r="M7" s="1" t="s">
        <v>19</v>
      </c>
    </row>
    <row r="8" spans="1:13" x14ac:dyDescent="0.25">
      <c r="L8" s="1" t="s">
        <v>20</v>
      </c>
      <c r="M8" s="1" t="s">
        <v>20</v>
      </c>
    </row>
    <row r="9" spans="1:13" x14ac:dyDescent="0.25">
      <c r="L9" s="1" t="s">
        <v>21</v>
      </c>
      <c r="M9" s="1" t="s">
        <v>21</v>
      </c>
    </row>
    <row r="10" spans="1:13" x14ac:dyDescent="0.25">
      <c r="L10" s="1" t="s">
        <v>22</v>
      </c>
      <c r="M10" s="1" t="s">
        <v>22</v>
      </c>
    </row>
    <row r="11" spans="1:13" x14ac:dyDescent="0.25">
      <c r="L11" s="1" t="s">
        <v>23</v>
      </c>
      <c r="M11" s="1" t="s">
        <v>23</v>
      </c>
    </row>
    <row r="13" spans="1:13" x14ac:dyDescent="0.25">
      <c r="L13" s="1" t="s">
        <v>24</v>
      </c>
      <c r="M13" s="1" t="s">
        <v>24</v>
      </c>
    </row>
    <row r="14" spans="1:13" x14ac:dyDescent="0.25">
      <c r="L14" s="1" t="s">
        <v>60</v>
      </c>
      <c r="M14" s="1" t="s">
        <v>25</v>
      </c>
    </row>
    <row r="15" spans="1:13" x14ac:dyDescent="0.25">
      <c r="L15" s="1" t="e">
        <v>#VALUE!</v>
      </c>
      <c r="M15" s="1" t="s">
        <v>25</v>
      </c>
    </row>
    <row r="16" spans="1:13" x14ac:dyDescent="0.25">
      <c r="L16" s="1" t="s">
        <v>25</v>
      </c>
      <c r="M16" s="1" t="s">
        <v>25</v>
      </c>
    </row>
    <row r="17" spans="11:13" x14ac:dyDescent="0.25">
      <c r="L17" s="1" t="s">
        <v>25</v>
      </c>
      <c r="M17" s="1" t="s">
        <v>25</v>
      </c>
    </row>
    <row r="18" spans="11:13" x14ac:dyDescent="0.25">
      <c r="K18" t="s">
        <v>62</v>
      </c>
      <c r="L18" t="s">
        <v>60</v>
      </c>
      <c r="M18"/>
    </row>
    <row r="19" spans="11:13" x14ac:dyDescent="0.25">
      <c r="L19" s="1" t="s">
        <v>59</v>
      </c>
      <c r="M19" s="1" t="s">
        <v>27</v>
      </c>
    </row>
    <row r="20" spans="11:13" x14ac:dyDescent="0.25">
      <c r="L20" s="1" t="s">
        <v>28</v>
      </c>
      <c r="M20" s="1" t="s">
        <v>28</v>
      </c>
    </row>
    <row r="21" spans="11:13" x14ac:dyDescent="0.25">
      <c r="L21" s="1" t="s">
        <v>60</v>
      </c>
      <c r="M21" s="1" t="s">
        <v>29</v>
      </c>
    </row>
    <row r="22" spans="11:13" x14ac:dyDescent="0.25">
      <c r="L22" s="1" t="s">
        <v>61</v>
      </c>
      <c r="M22" s="1" t="s">
        <v>29</v>
      </c>
    </row>
    <row r="23" spans="11:13" x14ac:dyDescent="0.25">
      <c r="L23" s="1" t="s">
        <v>63</v>
      </c>
      <c r="M23" s="1" t="s">
        <v>29</v>
      </c>
    </row>
    <row r="24" spans="11:13" x14ac:dyDescent="0.25">
      <c r="L24" s="1" t="s">
        <v>64</v>
      </c>
      <c r="M24" s="1" t="s">
        <v>29</v>
      </c>
    </row>
    <row r="25" spans="11:13" x14ac:dyDescent="0.25">
      <c r="L25" s="1" t="s">
        <v>65</v>
      </c>
      <c r="M25" s="1" t="s">
        <v>29</v>
      </c>
    </row>
    <row r="26" spans="11:13" x14ac:dyDescent="0.25">
      <c r="L26" s="1" t="s">
        <v>66</v>
      </c>
      <c r="M26" s="1" t="s">
        <v>29</v>
      </c>
    </row>
    <row r="27" spans="11:13" x14ac:dyDescent="0.25">
      <c r="L27" s="1" t="s">
        <v>64</v>
      </c>
      <c r="M27" s="1" t="s">
        <v>29</v>
      </c>
    </row>
    <row r="28" spans="11:13" x14ac:dyDescent="0.25">
      <c r="L28" s="1" t="s">
        <v>67</v>
      </c>
      <c r="M28" s="1" t="s">
        <v>29</v>
      </c>
    </row>
    <row r="29" spans="11:13" x14ac:dyDescent="0.25">
      <c r="L29" s="1" t="s">
        <v>69</v>
      </c>
      <c r="M29" s="1" t="s">
        <v>29</v>
      </c>
    </row>
    <row r="30" spans="11:13" ht="90" x14ac:dyDescent="0.25">
      <c r="L30" s="1" t="s">
        <v>68</v>
      </c>
      <c r="M30"/>
    </row>
    <row r="31" spans="11:13" x14ac:dyDescent="0.25">
      <c r="L31" s="1" t="str">
        <f>L30</f>
        <v>where the ' first uU 'U ' Dim myDIM As New DOORsImportMacros Dim myDIM As New DOORsImportMacros Dim myCell As Excel.Range Dim myCell As Excel.Range by Note: 'Note: by using the 'activecell' we ensure only the top left cell of the selected range is used uusing 'Note: by using the 'activecell' we ensure only the top left cell of the selected range is usedthe 'Note: by using the 'activecell' we ensure only the top left cell of the selected range is usedactivecell' 'Note: by using the 'activecell' we ensure only the top left cell of the selected range is usedwe ensure only the top left cell of the selected range is used Set myCell = ActiveCell     ' Macro to merge cells to the left where the</v>
      </c>
      <c r="M31" s="1" t="s">
        <v>25</v>
      </c>
    </row>
    <row r="32" spans="11:13" x14ac:dyDescent="0.25">
      <c r="L32" s="1" t="s">
        <v>70</v>
      </c>
      <c r="M32" s="1" t="s">
        <v>34</v>
      </c>
    </row>
    <row r="33" spans="12:13" x14ac:dyDescent="0.25">
      <c r="L33" s="1" t="str">
        <f>L32</f>
        <v xml:space="preserve">    myDIM.MergeCellsLeft myCell::::::::</v>
      </c>
      <c r="M33" s="1" t="s">
        <v>25</v>
      </c>
    </row>
    <row r="34" spans="12:13" x14ac:dyDescent="0.25">
      <c r="L34" s="1" t="s">
        <v>35</v>
      </c>
      <c r="M34" s="1" t="s">
        <v>35</v>
      </c>
    </row>
    <row r="35" spans="12:13" x14ac:dyDescent="0.25">
      <c r="L35" s="1" t="s">
        <v>36</v>
      </c>
      <c r="M35" s="1" t="s">
        <v>36</v>
      </c>
    </row>
    <row r="36" spans="12:13" x14ac:dyDescent="0.25">
      <c r="L36" s="1" t="s">
        <v>37</v>
      </c>
      <c r="M36" s="1" t="s">
        <v>37</v>
      </c>
    </row>
    <row r="37" spans="12:13" x14ac:dyDescent="0.25">
      <c r="L37" s="1" t="str">
        <f>L36</f>
        <v xml:space="preserve">    Set myDIM = Nothing</v>
      </c>
      <c r="M37" s="1" t="s">
        <v>25</v>
      </c>
    </row>
    <row r="38" spans="12:13" x14ac:dyDescent="0.25">
      <c r="L38" s="1" t="s">
        <v>26</v>
      </c>
      <c r="M38" s="1" t="s">
        <v>26</v>
      </c>
    </row>
    <row r="40" spans="12:13" x14ac:dyDescent="0.25">
      <c r="L40" s="1" t="s">
        <v>38</v>
      </c>
      <c r="M40" s="1" t="s">
        <v>38</v>
      </c>
    </row>
    <row r="41" spans="12:13" x14ac:dyDescent="0.25">
      <c r="L41" s="1" t="s">
        <v>28</v>
      </c>
      <c r="M41" s="1" t="s">
        <v>28</v>
      </c>
    </row>
    <row r="42" spans="12:13" x14ac:dyDescent="0.25">
      <c r="L42" s="1" t="s">
        <v>39</v>
      </c>
      <c r="M42" s="1" t="s">
        <v>39</v>
      </c>
    </row>
    <row r="43" spans="12:13" x14ac:dyDescent="0.25">
      <c r="L43" s="1" t="s">
        <v>40</v>
      </c>
      <c r="M43" s="1" t="s">
        <v>40</v>
      </c>
    </row>
    <row r="44" spans="12:13" x14ac:dyDescent="0.25">
      <c r="L44" s="1" t="s">
        <v>41</v>
      </c>
      <c r="M44" s="1" t="s">
        <v>41</v>
      </c>
    </row>
    <row r="45" spans="12:13" x14ac:dyDescent="0.25">
      <c r="L45" s="1" t="s">
        <v>28</v>
      </c>
      <c r="M45" s="1" t="s">
        <v>28</v>
      </c>
    </row>
    <row r="46" spans="12:13" x14ac:dyDescent="0.25">
      <c r="L46" s="1" t="s">
        <v>42</v>
      </c>
      <c r="M46" s="1" t="s">
        <v>42</v>
      </c>
    </row>
    <row r="47" spans="12:13" x14ac:dyDescent="0.25">
      <c r="L47" s="1" t="s">
        <v>28</v>
      </c>
      <c r="M47" s="1" t="s">
        <v>28</v>
      </c>
    </row>
    <row r="48" spans="12:13" x14ac:dyDescent="0.25">
      <c r="L48" s="1" t="s">
        <v>30</v>
      </c>
      <c r="M48" s="1" t="s">
        <v>30</v>
      </c>
    </row>
    <row r="49" spans="12:13" x14ac:dyDescent="0.25">
      <c r="L49" s="1" t="s">
        <v>31</v>
      </c>
      <c r="M49" s="1" t="s">
        <v>31</v>
      </c>
    </row>
    <row r="50" spans="12:13" x14ac:dyDescent="0.25">
      <c r="L50" s="1" t="s">
        <v>25</v>
      </c>
      <c r="M50" s="1" t="s">
        <v>25</v>
      </c>
    </row>
    <row r="51" spans="12:13" x14ac:dyDescent="0.25">
      <c r="L51" s="1" t="s">
        <v>32</v>
      </c>
      <c r="M51" s="1" t="s">
        <v>32</v>
      </c>
    </row>
    <row r="52" spans="12:13" x14ac:dyDescent="0.25">
      <c r="L52" s="1" t="s">
        <v>33</v>
      </c>
      <c r="M52" s="1" t="s">
        <v>33</v>
      </c>
    </row>
    <row r="53" spans="12:13" x14ac:dyDescent="0.25">
      <c r="L53" s="1" t="s">
        <v>25</v>
      </c>
      <c r="M53" s="1" t="s">
        <v>25</v>
      </c>
    </row>
    <row r="54" spans="12:13" x14ac:dyDescent="0.25">
      <c r="L54" s="1" t="s">
        <v>43</v>
      </c>
      <c r="M54" s="1" t="s">
        <v>43</v>
      </c>
    </row>
    <row r="55" spans="12:13" x14ac:dyDescent="0.25">
      <c r="L55" s="1" t="s">
        <v>25</v>
      </c>
      <c r="M55" s="1" t="s">
        <v>25</v>
      </c>
    </row>
    <row r="56" spans="12:13" x14ac:dyDescent="0.25">
      <c r="L56" s="1" t="s">
        <v>35</v>
      </c>
      <c r="M56" s="1" t="s">
        <v>35</v>
      </c>
    </row>
    <row r="57" spans="12:13" x14ac:dyDescent="0.25">
      <c r="L57" s="1" t="s">
        <v>36</v>
      </c>
      <c r="M57" s="1" t="s">
        <v>36</v>
      </c>
    </row>
    <row r="58" spans="12:13" x14ac:dyDescent="0.25">
      <c r="L58" s="1" t="s">
        <v>37</v>
      </c>
      <c r="M58" s="1" t="s">
        <v>37</v>
      </c>
    </row>
    <row r="59" spans="12:13" x14ac:dyDescent="0.25">
      <c r="L59" s="1" t="s">
        <v>44</v>
      </c>
      <c r="M59" s="1" t="s">
        <v>44</v>
      </c>
    </row>
    <row r="60" spans="12:13" x14ac:dyDescent="0.25">
      <c r="L60" s="1" t="s">
        <v>26</v>
      </c>
      <c r="M60" s="1" t="s">
        <v>26</v>
      </c>
    </row>
    <row r="62" spans="12:13" x14ac:dyDescent="0.25">
      <c r="L62" s="1" t="s">
        <v>45</v>
      </c>
      <c r="M62" s="1" t="s">
        <v>45</v>
      </c>
    </row>
    <row r="63" spans="12:13" x14ac:dyDescent="0.25">
      <c r="L63" s="1" t="s">
        <v>28</v>
      </c>
      <c r="M63" s="1" t="s">
        <v>28</v>
      </c>
    </row>
    <row r="64" spans="12:13" x14ac:dyDescent="0.25">
      <c r="L64" s="1" t="s">
        <v>46</v>
      </c>
      <c r="M64" s="1" t="s">
        <v>46</v>
      </c>
    </row>
    <row r="65" spans="12:13" x14ac:dyDescent="0.25">
      <c r="L65" s="1" t="s">
        <v>47</v>
      </c>
      <c r="M65" s="1" t="s">
        <v>47</v>
      </c>
    </row>
    <row r="66" spans="12:13" x14ac:dyDescent="0.25">
      <c r="L66" s="1" t="s">
        <v>28</v>
      </c>
      <c r="M66" s="1" t="s">
        <v>28</v>
      </c>
    </row>
    <row r="67" spans="12:13" x14ac:dyDescent="0.25">
      <c r="L67" s="1" t="s">
        <v>48</v>
      </c>
      <c r="M67" s="1" t="s">
        <v>48</v>
      </c>
    </row>
    <row r="68" spans="12:13" x14ac:dyDescent="0.25">
      <c r="L68" s="1" t="s">
        <v>28</v>
      </c>
      <c r="M68" s="1" t="s">
        <v>28</v>
      </c>
    </row>
    <row r="69" spans="12:13" x14ac:dyDescent="0.25">
      <c r="L69" s="1" t="s">
        <v>30</v>
      </c>
      <c r="M69" s="1" t="s">
        <v>30</v>
      </c>
    </row>
    <row r="70" spans="12:13" x14ac:dyDescent="0.25">
      <c r="L70" s="1" t="s">
        <v>31</v>
      </c>
      <c r="M70" s="1" t="s">
        <v>31</v>
      </c>
    </row>
    <row r="71" spans="12:13" x14ac:dyDescent="0.25">
      <c r="L71" s="1" t="s">
        <v>25</v>
      </c>
      <c r="M71" s="1" t="s">
        <v>25</v>
      </c>
    </row>
    <row r="72" spans="12:13" x14ac:dyDescent="0.25">
      <c r="L72" s="1" t="s">
        <v>32</v>
      </c>
      <c r="M72" s="1" t="s">
        <v>32</v>
      </c>
    </row>
    <row r="73" spans="12:13" x14ac:dyDescent="0.25">
      <c r="L73" s="1" t="s">
        <v>33</v>
      </c>
      <c r="M73" s="1" t="s">
        <v>33</v>
      </c>
    </row>
    <row r="74" spans="12:13" x14ac:dyDescent="0.25">
      <c r="L74" s="1" t="s">
        <v>25</v>
      </c>
      <c r="M74" s="1" t="s">
        <v>25</v>
      </c>
    </row>
    <row r="75" spans="12:13" x14ac:dyDescent="0.25">
      <c r="L75" s="1" t="s">
        <v>49</v>
      </c>
      <c r="M75" s="1" t="s">
        <v>49</v>
      </c>
    </row>
    <row r="76" spans="12:13" x14ac:dyDescent="0.25">
      <c r="L76" s="1" t="s">
        <v>25</v>
      </c>
      <c r="M76" s="1" t="s">
        <v>25</v>
      </c>
    </row>
    <row r="77" spans="12:13" x14ac:dyDescent="0.25">
      <c r="L77" s="1" t="s">
        <v>35</v>
      </c>
      <c r="M77" s="1" t="s">
        <v>35</v>
      </c>
    </row>
    <row r="78" spans="12:13" x14ac:dyDescent="0.25">
      <c r="L78" s="1" t="s">
        <v>36</v>
      </c>
      <c r="M78" s="1" t="s">
        <v>36</v>
      </c>
    </row>
    <row r="79" spans="12:13" x14ac:dyDescent="0.25">
      <c r="L79" s="1" t="s">
        <v>37</v>
      </c>
      <c r="M79" s="1" t="s">
        <v>37</v>
      </c>
    </row>
    <row r="81" spans="12:13" x14ac:dyDescent="0.25">
      <c r="L81" s="1" t="s">
        <v>26</v>
      </c>
      <c r="M81" s="1" t="s">
        <v>26</v>
      </c>
    </row>
    <row r="83" spans="12:13" x14ac:dyDescent="0.25">
      <c r="L83" s="1" t="s">
        <v>50</v>
      </c>
      <c r="M83" s="1" t="s">
        <v>50</v>
      </c>
    </row>
    <row r="84" spans="12:13" x14ac:dyDescent="0.25">
      <c r="L84" s="1" t="s">
        <v>51</v>
      </c>
      <c r="M84" s="1" t="s">
        <v>51</v>
      </c>
    </row>
    <row r="85" spans="12:13" x14ac:dyDescent="0.25">
      <c r="L85" s="1" t="s">
        <v>52</v>
      </c>
      <c r="M85" s="1" t="s">
        <v>52</v>
      </c>
    </row>
    <row r="86" spans="12:13" x14ac:dyDescent="0.25">
      <c r="L86" s="1" t="s">
        <v>51</v>
      </c>
      <c r="M86" s="1" t="s">
        <v>51</v>
      </c>
    </row>
    <row r="87" spans="12:13" x14ac:dyDescent="0.25">
      <c r="L87" s="1" t="s">
        <v>53</v>
      </c>
      <c r="M87" s="1" t="s">
        <v>53</v>
      </c>
    </row>
    <row r="88" spans="12:13" x14ac:dyDescent="0.25">
      <c r="L88" s="1" t="s">
        <v>51</v>
      </c>
      <c r="M88" s="1" t="s">
        <v>51</v>
      </c>
    </row>
    <row r="89" spans="12:13" x14ac:dyDescent="0.25">
      <c r="L89" s="1" t="s">
        <v>54</v>
      </c>
      <c r="M89" s="1" t="s">
        <v>54</v>
      </c>
    </row>
    <row r="91" spans="12:13" x14ac:dyDescent="0.25">
      <c r="L91" s="1" t="s">
        <v>55</v>
      </c>
      <c r="M91" s="1" t="s">
        <v>55</v>
      </c>
    </row>
    <row r="92" spans="12:13" x14ac:dyDescent="0.25">
      <c r="L92" s="1" t="s">
        <v>26</v>
      </c>
      <c r="M92" s="1" t="s">
        <v>26</v>
      </c>
    </row>
    <row r="94" spans="12:13" x14ac:dyDescent="0.25">
      <c r="L94" s="1" t="s">
        <v>56</v>
      </c>
      <c r="M94" s="1" t="s">
        <v>56</v>
      </c>
    </row>
    <row r="95" spans="12:13" x14ac:dyDescent="0.25">
      <c r="L95" s="1" t="s">
        <v>57</v>
      </c>
      <c r="M95" s="1" t="s">
        <v>57</v>
      </c>
    </row>
    <row r="96" spans="12:13" x14ac:dyDescent="0.25">
      <c r="L96" s="1" t="s">
        <v>58</v>
      </c>
      <c r="M96" s="1" t="s">
        <v>58</v>
      </c>
    </row>
    <row r="98" spans="12:13" x14ac:dyDescent="0.25">
      <c r="L98" s="1" t="s">
        <v>26</v>
      </c>
      <c r="M98" s="1" t="s">
        <v>26</v>
      </c>
    </row>
    <row r="2430" spans="12:12" x14ac:dyDescent="0.25">
      <c r="L2430" s="2"/>
    </row>
  </sheetData>
  <autoFilter ref="A1:M126" xr:uid="{5EE33955-9445-4E70-ABC7-57E8B36A983D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TerraPower, LLC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Darr</dc:creator>
  <cp:lastModifiedBy>Daniel Darr</cp:lastModifiedBy>
  <dcterms:created xsi:type="dcterms:W3CDTF">2021-12-17T15:23:42Z</dcterms:created>
  <dcterms:modified xsi:type="dcterms:W3CDTF">2022-02-10T17:19:21Z</dcterms:modified>
</cp:coreProperties>
</file>